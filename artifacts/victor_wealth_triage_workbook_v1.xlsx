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take" sheetId="2" state="visible" r:id="rId2"/>
    <sheet name="Cash Flow" sheetId="3" state="visible" r:id="rId3"/>
    <sheet name="Debts" sheetId="4" state="visible" r:id="rId4"/>
    <sheet name="Accounts" sheetId="5" state="visible" r:id="rId5"/>
    <sheet name="Insurance" sheetId="6" state="visible" r:id="rId6"/>
    <sheet name="Dashboard" sheetId="7" state="visible" r:id="rId7"/>
    <sheet name="Action Plan" sheetId="8" state="visible" r:id="rId8"/>
    <sheet name="Victor Promp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03040"/>
      </patternFill>
    </fill>
    <fill>
      <patternFill patternType="solid">
        <fgColor rgb="00EEF3F8"/>
      </patternFill>
    </fill>
    <fill>
      <patternFill patternType="solid">
        <fgColor rgb="00D7B46A"/>
      </patternFill>
    </fill>
    <fill>
      <patternFill patternType="solid">
        <fgColor rgb="00FFF4CC"/>
      </patternFill>
    </fill>
    <fill>
      <patternFill patternType="solid">
        <fgColor rgb="00FDE2E2"/>
      </patternFill>
    </fill>
    <fill>
      <patternFill patternType="solid">
        <fgColor rgb="00DFF4E5"/>
      </patternFill>
    </fill>
  </fills>
  <borders count="2">
    <border>
      <left/>
      <right/>
      <top/>
      <bottom/>
      <diagonal/>
    </border>
    <border>
      <left style="thin">
        <color rgb="00B7C3CF"/>
      </left>
      <right style="thin">
        <color rgb="00B7C3CF"/>
      </right>
      <top style="thin">
        <color rgb="00B7C3CF"/>
      </top>
      <bottom style="thin">
        <color rgb="00B7C3C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3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3" fillId="4" borderId="1" pivotButton="0" quotePrefix="0" xfId="0"/>
    <xf numFmtId="165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Victor Wealth Triage Workbook v1</t>
        </is>
      </c>
    </row>
    <row r="3">
      <c r="A3" t="inlineStr">
        <is>
          <t>Purpose: Structured intake and triage engine for a physician-specific financial assistant.</t>
        </is>
      </c>
    </row>
    <row r="4">
      <c r="A4" t="inlineStr">
        <is>
          <t>Authority order:</t>
        </is>
      </c>
    </row>
    <row r="5">
      <c r="A5" t="inlineStr">
        <is>
          <t>1. victor_sterling_financial_project_continuation_brief.md</t>
        </is>
      </c>
    </row>
    <row r="6">
      <c r="A6" t="inlineStr">
        <is>
          <t>2. Brains/ constitutional source library</t>
        </is>
      </c>
    </row>
    <row r="7">
      <c r="A7" t="inlineStr">
        <is>
          <t>3. This workbook and all derivative tools</t>
        </is>
      </c>
    </row>
    <row r="8">
      <c r="A8" t="inlineStr"/>
    </row>
    <row r="9">
      <c r="A9" t="inlineStr">
        <is>
          <t>Usage:</t>
        </is>
      </c>
    </row>
    <row r="10">
      <c r="A10" t="inlineStr">
        <is>
          <t>- Fill Intake, Cash Flow, Debts, Accounts, and Insurance first.</t>
        </is>
      </c>
    </row>
    <row r="11">
      <c r="A11" t="inlineStr">
        <is>
          <t>- Review Dashboard for triage metrics and red flags.</t>
        </is>
      </c>
    </row>
    <row r="12">
      <c r="A12" t="inlineStr">
        <is>
          <t>- Use Action Plan for ranked next steps.</t>
        </is>
      </c>
    </row>
    <row r="13">
      <c r="A13" t="inlineStr">
        <is>
          <t>- Copy the output from Victor Prompt into your AI workflow when needed.</t>
        </is>
      </c>
    </row>
    <row r="14">
      <c r="A14" t="inlineStr"/>
    </row>
    <row r="15">
      <c r="A15" t="inlineStr">
        <is>
          <t>Important:</t>
        </is>
      </c>
    </row>
    <row r="16">
      <c r="A16" t="inlineStr">
        <is>
          <t>- Student-loan recommendations require current federal-rule verification.</t>
        </is>
      </c>
    </row>
    <row r="17">
      <c r="A17" t="inlineStr">
        <is>
          <t>- Tax recommendations require current official-source verification.</t>
        </is>
      </c>
    </row>
    <row r="18">
      <c r="A18" t="inlineStr">
        <is>
          <t>- Missing data should remain visible rather than guessed away.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55" customWidth="1" min="3" max="3"/>
  </cols>
  <sheetData>
    <row r="1">
      <c r="A1" s="1" t="inlineStr">
        <is>
          <t>Intake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Why it matters</t>
        </is>
      </c>
    </row>
    <row r="3">
      <c r="A3" s="3" t="inlineStr">
        <is>
          <t>Client name</t>
        </is>
      </c>
      <c r="B3" s="4" t="inlineStr"/>
      <c r="C3" s="4" t="inlineStr">
        <is>
          <t>Reference label only.</t>
        </is>
      </c>
    </row>
    <row r="4">
      <c r="A4" s="3" t="inlineStr">
        <is>
          <t>Age</t>
        </is>
      </c>
      <c r="B4" s="4" t="inlineStr"/>
      <c r="C4" s="4" t="inlineStr">
        <is>
          <t>Affects timeline, risk capacity, and retirement runway.</t>
        </is>
      </c>
    </row>
    <row r="5">
      <c r="A5" s="3" t="inlineStr">
        <is>
          <t>State</t>
        </is>
      </c>
      <c r="B5" s="4" t="inlineStr"/>
      <c r="C5" s="4" t="inlineStr">
        <is>
          <t>Tax and legal context.</t>
        </is>
      </c>
    </row>
    <row r="6">
      <c r="A6" s="3" t="inlineStr">
        <is>
          <t>Filing status</t>
        </is>
      </c>
      <c r="B6" s="4" t="inlineStr"/>
      <c r="C6" s="4" t="inlineStr">
        <is>
          <t>Tax planning and loan strategy context.</t>
        </is>
      </c>
    </row>
    <row r="7">
      <c r="A7" s="3" t="inlineStr">
        <is>
          <t>Dependents</t>
        </is>
      </c>
      <c r="B7" s="4" t="inlineStr"/>
      <c r="C7" s="4" t="inlineStr">
        <is>
          <t>Insurance need and liquidity pressure.</t>
        </is>
      </c>
    </row>
    <row r="8">
      <c r="A8" s="3" t="inlineStr">
        <is>
          <t>Training stage</t>
        </is>
      </c>
      <c r="B8" s="4" t="inlineStr"/>
      <c r="C8" s="4" t="inlineStr">
        <is>
          <t>Resident, fellow, attending, or other changes almost everything.</t>
        </is>
      </c>
    </row>
    <row r="9">
      <c r="A9" s="3" t="inlineStr">
        <is>
          <t>Specialty</t>
        </is>
      </c>
      <c r="B9" s="4" t="inlineStr"/>
      <c r="C9" s="4" t="inlineStr">
        <is>
          <t>Income trajectory and disability risk context.</t>
        </is>
      </c>
    </row>
    <row r="10">
      <c r="A10" s="3" t="inlineStr">
        <is>
          <t>Expected attending income</t>
        </is>
      </c>
      <c r="B10" s="5" t="inlineStr"/>
      <c r="C10" s="4" t="inlineStr">
        <is>
          <t>Needed for training-to-attending transition planning.</t>
        </is>
      </c>
    </row>
    <row r="11">
      <c r="A11" s="3" t="inlineStr">
        <is>
          <t>Gross household income</t>
        </is>
      </c>
      <c r="B11" s="5" t="inlineStr"/>
      <c r="C11" s="4" t="inlineStr">
        <is>
          <t>Base denominator for savings rate and planning.</t>
        </is>
      </c>
    </row>
    <row r="12">
      <c r="A12" s="3" t="inlineStr">
        <is>
          <t>Monthly take-home pay</t>
        </is>
      </c>
      <c r="B12" s="5" t="inlineStr"/>
      <c r="C12" s="4" t="inlineStr">
        <is>
          <t>Real cash-flow planning depends on take-home, not fantasy gross.</t>
        </is>
      </c>
    </row>
    <row r="13">
      <c r="A13" s="3" t="inlineStr">
        <is>
          <t>Income stability</t>
        </is>
      </c>
      <c r="B13" s="4" t="inlineStr"/>
      <c r="C13" s="4" t="inlineStr">
        <is>
          <t>Determines risk capacity and emergency-fund needs.</t>
        </is>
      </c>
    </row>
    <row r="14">
      <c r="A14" s="3" t="inlineStr">
        <is>
          <t>Near-term goals</t>
        </is>
      </c>
      <c r="B14" s="4" t="inlineStr"/>
      <c r="C14" s="4" t="inlineStr">
        <is>
          <t>Prevents generic advice.</t>
        </is>
      </c>
    </row>
    <row r="15">
      <c r="A15" s="3" t="inlineStr">
        <is>
          <t>Notes</t>
        </is>
      </c>
      <c r="B15" s="4" t="inlineStr"/>
      <c r="C15" s="4" t="inlineStr">
        <is>
          <t>Use for contract or family nuance.</t>
        </is>
      </c>
    </row>
  </sheetData>
  <dataValidations count="3">
    <dataValidation sqref="B6" showDropDown="0" showInputMessage="0" showErrorMessage="0" allowBlank="1" type="list">
      <formula1>"Single,Married filing jointly,Married filing separately,Head of household,Other / unsure"</formula1>
    </dataValidation>
    <dataValidation sqref="B8" showDropDown="0" showInputMessage="0" showErrorMessage="0" allowBlank="1" type="list">
      <formula1>"Resident,Fellow,Attending,Private practice,Other"</formula1>
    </dataValidation>
    <dataValidation sqref="B13" showDropDown="0" showInputMessage="0" showErrorMessage="0" allowBlank="1" type="list">
      <formula1>"Very stable,Mostly stable,Variable,Unstable / at risk"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58" customWidth="1" min="3" max="3"/>
  </cols>
  <sheetData>
    <row r="1">
      <c r="A1" s="1" t="inlineStr">
        <is>
          <t>Cash Flow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Why it matters</t>
        </is>
      </c>
    </row>
    <row r="3">
      <c r="A3" s="3" t="inlineStr">
        <is>
          <t>Monthly fixed expenses</t>
        </is>
      </c>
      <c r="B3" s="5" t="inlineStr"/>
      <c r="C3" s="4" t="inlineStr">
        <is>
          <t>Housing, insurance, utilities, childcare, subscriptions.</t>
        </is>
      </c>
    </row>
    <row r="4">
      <c r="A4" s="3" t="inlineStr">
        <is>
          <t>Monthly variable expenses</t>
        </is>
      </c>
      <c r="B4" s="5" t="inlineStr"/>
      <c r="C4" s="4" t="inlineStr">
        <is>
          <t>Food, gas, discretionary spending, and irregular leakage.</t>
        </is>
      </c>
    </row>
    <row r="5">
      <c r="A5" s="3" t="inlineStr">
        <is>
          <t>Monthly debt payments</t>
        </is>
      </c>
      <c r="B5" s="5" t="inlineStr"/>
      <c r="C5" s="4" t="inlineStr">
        <is>
          <t>Required debt drag on cash flow.</t>
        </is>
      </c>
    </row>
    <row r="6">
      <c r="A6" s="3" t="inlineStr">
        <is>
          <t>Monthly savings and investing</t>
        </is>
      </c>
      <c r="B6" s="5" t="inlineStr"/>
      <c r="C6" s="4" t="inlineStr">
        <is>
          <t>Core numerator for savings rate.</t>
        </is>
      </c>
    </row>
    <row r="7">
      <c r="A7" s="3" t="inlineStr">
        <is>
          <t>Cash buffer</t>
        </is>
      </c>
      <c r="B7" s="5" t="inlineStr"/>
      <c r="C7" s="4" t="inlineStr">
        <is>
          <t>Liquid cash available now.</t>
        </is>
      </c>
    </row>
    <row r="8">
      <c r="A8" s="3" t="inlineStr">
        <is>
          <t>Target emergency-fund months</t>
        </is>
      </c>
      <c r="B8" s="4" t="n">
        <v>6</v>
      </c>
      <c r="C8" s="4" t="inlineStr">
        <is>
          <t>Set a realistic liquidity target.</t>
        </is>
      </c>
    </row>
    <row r="9">
      <c r="A9" s="3" t="inlineStr">
        <is>
          <t>Annual bonus or extra income</t>
        </is>
      </c>
      <c r="B9" s="5" t="inlineStr"/>
      <c r="C9" s="4" t="inlineStr">
        <is>
          <t>Optional upside, not a planning crutch.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4" customWidth="1" min="4" max="4"/>
    <col width="22" customWidth="1" min="5" max="5"/>
    <col width="14" customWidth="1" min="6" max="6"/>
    <col width="18" customWidth="1" min="7" max="7"/>
    <col width="38" customWidth="1" min="8" max="8"/>
  </cols>
  <sheetData>
    <row r="1">
      <c r="A1" s="1" t="inlineStr">
        <is>
          <t>Debts</t>
        </is>
      </c>
    </row>
    <row r="2">
      <c r="A2" s="2" t="inlineStr">
        <is>
          <t>Debt type</t>
        </is>
      </c>
      <c r="B2" s="2" t="inlineStr">
        <is>
          <t>Federal loan?</t>
        </is>
      </c>
      <c r="C2" s="2" t="inlineStr">
        <is>
          <t>Balance</t>
        </is>
      </c>
      <c r="D2" s="2" t="inlineStr">
        <is>
          <t>Interest rate</t>
        </is>
      </c>
      <c r="E2" s="2" t="inlineStr">
        <is>
          <t>Minimum monthly payment</t>
        </is>
      </c>
      <c r="F2" s="2" t="inlineStr">
        <is>
          <t>PSLF eligible?</t>
        </is>
      </c>
      <c r="G2" s="2" t="inlineStr">
        <is>
          <t>Qualifying payments</t>
        </is>
      </c>
      <c r="H2" s="2" t="inlineStr">
        <is>
          <t>Status / notes</t>
        </is>
      </c>
    </row>
    <row r="3">
      <c r="A3" s="4" t="n"/>
      <c r="B3" s="4" t="n"/>
      <c r="C3" s="5" t="n"/>
      <c r="D3" s="6" t="n"/>
      <c r="E3" s="5" t="n"/>
      <c r="F3" s="4" t="n"/>
      <c r="G3" s="4" t="n"/>
      <c r="H3" s="4" t="n"/>
    </row>
    <row r="4">
      <c r="A4" s="4" t="n"/>
      <c r="B4" s="4" t="n"/>
      <c r="C4" s="5" t="n"/>
      <c r="D4" s="6" t="n"/>
      <c r="E4" s="5" t="n"/>
      <c r="F4" s="4" t="n"/>
      <c r="G4" s="4" t="n"/>
      <c r="H4" s="4" t="n"/>
    </row>
    <row r="5">
      <c r="A5" s="4" t="n"/>
      <c r="B5" s="4" t="n"/>
      <c r="C5" s="5" t="n"/>
      <c r="D5" s="6" t="n"/>
      <c r="E5" s="5" t="n"/>
      <c r="F5" s="4" t="n"/>
      <c r="G5" s="4" t="n"/>
      <c r="H5" s="4" t="n"/>
    </row>
    <row r="6">
      <c r="A6" s="4" t="n"/>
      <c r="B6" s="4" t="n"/>
      <c r="C6" s="5" t="n"/>
      <c r="D6" s="6" t="n"/>
      <c r="E6" s="5" t="n"/>
      <c r="F6" s="4" t="n"/>
      <c r="G6" s="4" t="n"/>
      <c r="H6" s="4" t="n"/>
    </row>
    <row r="7">
      <c r="A7" s="4" t="n"/>
      <c r="B7" s="4" t="n"/>
      <c r="C7" s="5" t="n"/>
      <c r="D7" s="6" t="n"/>
      <c r="E7" s="5" t="n"/>
      <c r="F7" s="4" t="n"/>
      <c r="G7" s="4" t="n"/>
      <c r="H7" s="4" t="n"/>
    </row>
    <row r="8">
      <c r="A8" s="4" t="n"/>
      <c r="B8" s="4" t="n"/>
      <c r="C8" s="5" t="n"/>
      <c r="D8" s="6" t="n"/>
      <c r="E8" s="5" t="n"/>
      <c r="F8" s="4" t="n"/>
      <c r="G8" s="4" t="n"/>
      <c r="H8" s="4" t="n"/>
    </row>
    <row r="9">
      <c r="A9" s="4" t="n"/>
      <c r="B9" s="4" t="n"/>
      <c r="C9" s="5" t="n"/>
      <c r="D9" s="6" t="n"/>
      <c r="E9" s="5" t="n"/>
      <c r="F9" s="4" t="n"/>
      <c r="G9" s="4" t="n"/>
      <c r="H9" s="4" t="n"/>
    </row>
    <row r="10">
      <c r="A10" s="4" t="n"/>
      <c r="B10" s="4" t="n"/>
      <c r="C10" s="5" t="n"/>
      <c r="D10" s="6" t="n"/>
      <c r="E10" s="5" t="n"/>
      <c r="F10" s="4" t="n"/>
      <c r="G10" s="4" t="n"/>
      <c r="H10" s="4" t="n"/>
    </row>
    <row r="11">
      <c r="A11" s="4" t="n"/>
      <c r="B11" s="4" t="n"/>
      <c r="C11" s="5" t="n"/>
      <c r="D11" s="6" t="n"/>
      <c r="E11" s="5" t="n"/>
      <c r="F11" s="4" t="n"/>
      <c r="G11" s="4" t="n"/>
      <c r="H11" s="4" t="n"/>
    </row>
    <row r="12">
      <c r="A12" s="4" t="n"/>
      <c r="B12" s="4" t="n"/>
      <c r="C12" s="5" t="n"/>
      <c r="D12" s="6" t="n"/>
      <c r="E12" s="5" t="n"/>
      <c r="F12" s="4" t="n"/>
      <c r="G12" s="4" t="n"/>
      <c r="H12" s="4" t="n"/>
    </row>
    <row r="13">
      <c r="A13" s="4" t="n"/>
      <c r="B13" s="4" t="n"/>
      <c r="C13" s="5" t="n"/>
      <c r="D13" s="6" t="n"/>
      <c r="E13" s="5" t="n"/>
      <c r="F13" s="4" t="n"/>
      <c r="G13" s="4" t="n"/>
      <c r="H13" s="4" t="n"/>
    </row>
    <row r="14">
      <c r="A14" s="4" t="n"/>
      <c r="B14" s="4" t="n"/>
      <c r="C14" s="5" t="n"/>
      <c r="D14" s="6" t="n"/>
      <c r="E14" s="5" t="n"/>
      <c r="F14" s="4" t="n"/>
      <c r="G14" s="4" t="n"/>
      <c r="H14" s="4" t="n"/>
    </row>
  </sheetData>
  <dataValidations count="2">
    <dataValidation sqref="B3:B14" showDropDown="0" showInputMessage="0" showErrorMessage="0" allowBlank="1" type="list">
      <formula1>"Yes,No"</formula1>
    </dataValidation>
    <dataValidation sqref="F3:F1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8" customWidth="1" min="3" max="3"/>
    <col width="24" customWidth="1" min="4" max="4"/>
    <col width="24" customWidth="1" min="5" max="5"/>
    <col width="40" customWidth="1" min="6" max="6"/>
  </cols>
  <sheetData>
    <row r="1">
      <c r="A1" s="1" t="inlineStr">
        <is>
          <t>Accounts</t>
        </is>
      </c>
    </row>
    <row r="2">
      <c r="A2" s="2" t="inlineStr">
        <is>
          <t>Account type</t>
        </is>
      </c>
      <c r="B2" s="2" t="inlineStr">
        <is>
          <t>Balance</t>
        </is>
      </c>
      <c r="C2" s="2" t="inlineStr">
        <is>
          <t>Employer match %</t>
        </is>
      </c>
      <c r="D2" s="2" t="inlineStr">
        <is>
          <t>Current annual contribution</t>
        </is>
      </c>
      <c r="E2" s="2" t="inlineStr">
        <is>
          <t>Annual contribution limit</t>
        </is>
      </c>
      <c r="F2" s="2" t="inlineStr">
        <is>
          <t>Notes</t>
        </is>
      </c>
    </row>
    <row r="3">
      <c r="A3" s="4" t="n"/>
      <c r="B3" s="5" t="n"/>
      <c r="C3" s="6" t="n"/>
      <c r="D3" s="5" t="n"/>
      <c r="E3" s="5" t="n"/>
      <c r="F3" s="4" t="n"/>
    </row>
    <row r="4">
      <c r="A4" s="4" t="n"/>
      <c r="B4" s="5" t="n"/>
      <c r="C4" s="6" t="n"/>
      <c r="D4" s="5" t="n"/>
      <c r="E4" s="5" t="n"/>
      <c r="F4" s="4" t="n"/>
    </row>
    <row r="5">
      <c r="A5" s="4" t="n"/>
      <c r="B5" s="5" t="n"/>
      <c r="C5" s="6" t="n"/>
      <c r="D5" s="5" t="n"/>
      <c r="E5" s="5" t="n"/>
      <c r="F5" s="4" t="n"/>
    </row>
    <row r="6">
      <c r="A6" s="4" t="n"/>
      <c r="B6" s="5" t="n"/>
      <c r="C6" s="6" t="n"/>
      <c r="D6" s="5" t="n"/>
      <c r="E6" s="5" t="n"/>
      <c r="F6" s="4" t="n"/>
    </row>
    <row r="7">
      <c r="A7" s="4" t="n"/>
      <c r="B7" s="5" t="n"/>
      <c r="C7" s="6" t="n"/>
      <c r="D7" s="5" t="n"/>
      <c r="E7" s="5" t="n"/>
      <c r="F7" s="4" t="n"/>
    </row>
    <row r="8">
      <c r="A8" s="4" t="n"/>
      <c r="B8" s="5" t="n"/>
      <c r="C8" s="6" t="n"/>
      <c r="D8" s="5" t="n"/>
      <c r="E8" s="5" t="n"/>
      <c r="F8" s="4" t="n"/>
    </row>
    <row r="9">
      <c r="A9" s="4" t="n"/>
      <c r="B9" s="5" t="n"/>
      <c r="C9" s="6" t="n"/>
      <c r="D9" s="5" t="n"/>
      <c r="E9" s="5" t="n"/>
      <c r="F9" s="4" t="n"/>
    </row>
    <row r="10">
      <c r="A10" s="4" t="n"/>
      <c r="B10" s="5" t="n"/>
      <c r="C10" s="6" t="n"/>
      <c r="D10" s="5" t="n"/>
      <c r="E10" s="5" t="n"/>
      <c r="F10" s="4" t="n"/>
    </row>
    <row r="11">
      <c r="A11" s="4" t="n"/>
      <c r="B11" s="5" t="n"/>
      <c r="C11" s="6" t="n"/>
      <c r="D11" s="5" t="n"/>
      <c r="E11" s="5" t="n"/>
      <c r="F11" s="4" t="n"/>
    </row>
    <row r="12">
      <c r="A12" s="4" t="n"/>
      <c r="B12" s="5" t="n"/>
      <c r="C12" s="6" t="n"/>
      <c r="D12" s="5" t="n"/>
      <c r="E12" s="5" t="n"/>
      <c r="F12" s="4" t="n"/>
    </row>
    <row r="13">
      <c r="A13" s="4" t="n"/>
      <c r="B13" s="5" t="n"/>
      <c r="C13" s="6" t="n"/>
      <c r="D13" s="5" t="n"/>
      <c r="E13" s="5" t="n"/>
      <c r="F13" s="4" t="n"/>
    </row>
    <row r="14">
      <c r="A14" s="4" t="n"/>
      <c r="B14" s="5" t="n"/>
      <c r="C14" s="6" t="n"/>
      <c r="D14" s="5" t="n"/>
      <c r="E14" s="5" t="n"/>
      <c r="F14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55" customWidth="1" min="3" max="3"/>
  </cols>
  <sheetData>
    <row r="1">
      <c r="A1" s="1" t="inlineStr">
        <is>
          <t>Insurance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Why it matters</t>
        </is>
      </c>
    </row>
    <row r="3">
      <c r="A3" s="3" t="inlineStr">
        <is>
          <t>Own-occupation disability in force?</t>
        </is>
      </c>
      <c r="B3" s="4" t="inlineStr"/>
      <c r="C3" s="4" t="inlineStr">
        <is>
          <t>Future income is often the physician's largest asset.</t>
        </is>
      </c>
    </row>
    <row r="4">
      <c r="A4" s="3" t="inlineStr">
        <is>
          <t>Employer disability coverage only?</t>
        </is>
      </c>
      <c r="B4" s="4" t="inlineStr"/>
      <c r="C4" s="4" t="inlineStr">
        <is>
          <t>Group coverage may be inadequate or non-portable.</t>
        </is>
      </c>
    </row>
    <row r="5">
      <c r="A5" s="3" t="inlineStr">
        <is>
          <t>Term life in force?</t>
        </is>
      </c>
      <c r="B5" s="4" t="inlineStr"/>
      <c r="C5" s="4" t="inlineStr">
        <is>
          <t>Relevant when dependents or shared debts exist.</t>
        </is>
      </c>
    </row>
    <row r="6">
      <c r="A6" s="3" t="inlineStr">
        <is>
          <t>Umbrella policy in force?</t>
        </is>
      </c>
      <c r="B6" s="4" t="inlineStr"/>
      <c r="C6" s="4" t="inlineStr">
        <is>
          <t>Liability protection may matter as assets grow.</t>
        </is>
      </c>
    </row>
    <row r="7">
      <c r="A7" s="3" t="inlineStr">
        <is>
          <t>Malpractice tail issue identified?</t>
        </is>
      </c>
      <c r="B7" s="4" t="inlineStr"/>
      <c r="C7" s="4" t="inlineStr">
        <is>
          <t>Contract and job-change risk.</t>
        </is>
      </c>
    </row>
    <row r="8">
      <c r="A8" s="3" t="inlineStr">
        <is>
          <t>Contract review completed?</t>
        </is>
      </c>
      <c r="B8" s="4" t="inlineStr"/>
      <c r="C8" s="4" t="inlineStr">
        <is>
          <t>Bad employment terms can destroy wealth quietly.</t>
        </is>
      </c>
    </row>
    <row r="9">
      <c r="A9" s="3" t="inlineStr">
        <is>
          <t>Insurance notes</t>
        </is>
      </c>
      <c r="B9" s="4" t="inlineStr"/>
      <c r="C9" s="4" t="inlineStr">
        <is>
          <t>Coverage details, riders, or concerns.</t>
        </is>
      </c>
    </row>
  </sheetData>
  <dataValidations count="1">
    <dataValidation sqref="B3:B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60" customWidth="1" min="3" max="3"/>
    <col width="48" customWidth="1" min="5" max="5"/>
  </cols>
  <sheetData>
    <row r="1">
      <c r="A1" s="1" t="inlineStr">
        <is>
          <t>Dashboard</t>
        </is>
      </c>
    </row>
    <row r="2">
      <c r="A2" s="2" t="inlineStr">
        <is>
          <t>Metric</t>
        </is>
      </c>
      <c r="B2" s="2" t="inlineStr">
        <is>
          <t>Value</t>
        </is>
      </c>
      <c r="C2" s="2" t="inlineStr">
        <is>
          <t>Interpretation</t>
        </is>
      </c>
      <c r="E2" s="7" t="inlineStr">
        <is>
          <t>Read This</t>
        </is>
      </c>
    </row>
    <row r="3">
      <c r="A3" s="3" t="inlineStr">
        <is>
          <t>Gross household income</t>
        </is>
      </c>
      <c r="B3" s="5">
        <f>Intake!B11</f>
        <v/>
      </c>
      <c r="C3" s="4" t="inlineStr">
        <is>
          <t>Base income for planning.</t>
        </is>
      </c>
      <c r="E3" s="4" t="inlineStr">
        <is>
          <t>This dashboard is triage, not final advice.</t>
        </is>
      </c>
    </row>
    <row r="4">
      <c r="A4" s="3" t="inlineStr">
        <is>
          <t>Annual savings</t>
        </is>
      </c>
      <c r="B4" s="5">
        <f>IFERROR('Cash Flow'!B6*12,0)</f>
        <v/>
      </c>
      <c r="C4" s="4" t="inlineStr">
        <is>
          <t>From current monthly savings/investing.</t>
        </is>
      </c>
      <c r="E4" s="4" t="inlineStr">
        <is>
          <t>Missing data should reduce confidence, not trigger invented precision.</t>
        </is>
      </c>
    </row>
    <row r="5">
      <c r="A5" s="3" t="inlineStr">
        <is>
          <t>Savings rate</t>
        </is>
      </c>
      <c r="B5" s="8">
        <f>IFERROR(B4/B3,"")</f>
        <v/>
      </c>
      <c r="C5" s="4" t="inlineStr">
        <is>
          <t>Below 15% is weak, 15-25% is decent, 25%+ is strong.</t>
        </is>
      </c>
      <c r="E5" s="4" t="inlineStr">
        <is>
          <t>Federal student-loan choices require current official-rule verification.</t>
        </is>
      </c>
    </row>
    <row r="6">
      <c r="A6" s="3" t="inlineStr">
        <is>
          <t>Monthly core spend</t>
        </is>
      </c>
      <c r="B6" s="5">
        <f>SUM('Cash Flow'!B3:B5)</f>
        <v/>
      </c>
      <c r="C6" s="4" t="inlineStr">
        <is>
          <t>Core household cash outflow before optional nuance.</t>
        </is>
      </c>
      <c r="E6" s="4" t="inlineStr">
        <is>
          <t>Tax optimization requires live current-law review.</t>
        </is>
      </c>
    </row>
    <row r="7">
      <c r="A7" s="3" t="inlineStr">
        <is>
          <t>Emergency-fund months</t>
        </is>
      </c>
      <c r="B7" s="9">
        <f>IFERROR('Cash Flow'!B7/B6,"")</f>
        <v/>
      </c>
      <c r="C7" s="4" t="inlineStr">
        <is>
          <t>Liquidity buffer in months of core spend.</t>
        </is>
      </c>
    </row>
    <row r="8">
      <c r="A8" s="3" t="inlineStr">
        <is>
          <t>Total debt</t>
        </is>
      </c>
      <c r="B8" s="5">
        <f>SUM(Debts!C3:C14)</f>
        <v/>
      </c>
      <c r="C8" s="4" t="inlineStr">
        <is>
          <t>All listed debt balances combined.</t>
        </is>
      </c>
    </row>
    <row r="9">
      <c r="A9" s="3" t="inlineStr">
        <is>
          <t>Federal student-loan balance</t>
        </is>
      </c>
      <c r="B9" s="5">
        <f>SUMIF(Debts!B3:B14,"Yes",Debts!C3:C14)</f>
        <v/>
      </c>
      <c r="C9" s="4" t="inlineStr">
        <is>
          <t>Federal loans must be modeled before refinance talk.</t>
        </is>
      </c>
    </row>
    <row r="10">
      <c r="A10" s="3" t="inlineStr">
        <is>
          <t>High-interest debt flag</t>
        </is>
      </c>
      <c r="B10" s="10">
        <f>IF(COUNTIFS(Debts!B3:B14,"No",Debts!D3:D14,"&gt;=0.08",Debts!A3:A14,"&lt;&gt;Mortgage")&gt;0,"Yes","No")</f>
        <v/>
      </c>
      <c r="C10" s="4" t="inlineStr">
        <is>
          <t>Any expensive non-federal debt is a triage problem.</t>
        </is>
      </c>
    </row>
    <row r="11">
      <c r="A11" s="3" t="inlineStr">
        <is>
          <t>Employer match available</t>
        </is>
      </c>
      <c r="B11" s="9">
        <f>IF(COUNTIF(Accounts!C3:C14,"&gt;0")&gt;0,"Yes","No")</f>
        <v/>
      </c>
      <c r="C11" s="4" t="inlineStr">
        <is>
          <t>Free match should be captured before cleverness.</t>
        </is>
      </c>
    </row>
    <row r="12">
      <c r="A12" s="3" t="inlineStr">
        <is>
          <t>Disability protection gap</t>
        </is>
      </c>
      <c r="B12" s="10">
        <f>IF(AND(OR(Intake!B8="Resident",Intake!B8="Fellow",Intake!B8="Attending",Intake!B8="Private practice"),Insurance!B3&lt;&gt;"Yes"),"Review now","Looks covered or unknown")</f>
        <v/>
      </c>
      <c r="C12" s="4" t="inlineStr">
        <is>
          <t>Physician income needs explicit protection.</t>
        </is>
      </c>
    </row>
    <row r="13">
      <c r="A13" s="3" t="inlineStr">
        <is>
          <t>Preliminary risk capacity</t>
        </is>
      </c>
      <c r="B13" s="11">
        <f>IF(OR(B7&lt;3,Intake!B13="Unstable / at risk",B10="Yes"),"Constrained",IF(AND(B7&gt;=6,OR(Intake!B13="Very stable",Intake!B13="Mostly stable"),B10="No"),"Moderate-to-High","Moderate"))</f>
        <v/>
      </c>
      <c r="C13" s="4" t="inlineStr">
        <is>
          <t>Use the lower of risk capacity and risk tolerance in real planning.</t>
        </is>
      </c>
    </row>
    <row r="14">
      <c r="A14" s="3" t="inlineStr">
        <is>
          <t>Missing core inputs</t>
        </is>
      </c>
      <c r="B14" s="9">
        <f>COUNTBLANK(Intake!B4:B14)+COUNTBLANK('Cash Flow'!B3:B8)</f>
        <v/>
      </c>
      <c r="C14" s="4" t="inlineStr">
        <is>
          <t>Higher missingness means lower confidence in the plan.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2" customWidth="1" min="3" max="3"/>
    <col width="44" customWidth="1" min="4" max="4"/>
    <col width="52" customWidth="1" min="5" max="5"/>
  </cols>
  <sheetData>
    <row r="1">
      <c r="A1" s="1" t="inlineStr">
        <is>
          <t>Action Plan</t>
        </is>
      </c>
    </row>
    <row r="2">
      <c r="A2" s="2" t="inlineStr">
        <is>
          <t>Priority</t>
        </is>
      </c>
      <c r="B2" s="2" t="inlineStr">
        <is>
          <t>Category</t>
        </is>
      </c>
      <c r="C2" s="2" t="inlineStr">
        <is>
          <t>Victor verdict</t>
        </is>
      </c>
      <c r="D2" s="2" t="inlineStr">
        <is>
          <t>Reason</t>
        </is>
      </c>
      <c r="E2" s="2" t="inlineStr">
        <is>
          <t>Immediate next step</t>
        </is>
      </c>
    </row>
    <row r="3">
      <c r="A3" s="4" t="n">
        <v>1</v>
      </c>
      <c r="B3" s="4" t="inlineStr">
        <is>
          <t>Liquidity</t>
        </is>
      </c>
      <c r="C3" s="4">
        <f>IF(Dashboard!B7&lt;1,"Critical: liquidity is dangerously thin",IF(Dashboard!B7&lt;3,"Weak: build cash before optimization","Acceptable for now"))</f>
        <v/>
      </c>
      <c r="D3" s="4" t="inlineStr">
        <is>
          <t>Victor protects against ruin first.</t>
        </is>
      </c>
      <c r="E3" s="4">
        <f>IF(Dashboard!B7&lt;3,"Build starter cash reserve and stop optional complexity","Maintain or continue toward target reserve")</f>
        <v/>
      </c>
    </row>
    <row r="4">
      <c r="A4" s="4" t="n">
        <v>2</v>
      </c>
      <c r="B4" s="4" t="inlineStr">
        <is>
          <t>High-interest debt</t>
        </is>
      </c>
      <c r="C4" s="4">
        <f>IF(Dashboard!B10="Yes","Attack this now","No obvious high-interest debt emergency detected")</f>
        <v/>
      </c>
      <c r="D4" s="4" t="inlineStr">
        <is>
          <t>Guaranteed interest avoidance usually beats speculative expected return.</t>
        </is>
      </c>
      <c r="E4" s="4">
        <f>IF(Dashboard!B10="Yes","Direct surplus cash toward expensive debt payoff","Proceed to next priority")</f>
        <v/>
      </c>
    </row>
    <row r="5">
      <c r="A5" s="4" t="n">
        <v>3</v>
      </c>
      <c r="B5" s="4" t="inlineStr">
        <is>
          <t>Disability insurance</t>
        </is>
      </c>
      <c r="C5" s="4">
        <f>IF(Dashboard!B12="Review now","Protection gap identified","No immediate gap detected or details missing")</f>
        <v/>
      </c>
      <c r="D5" s="4" t="inlineStr">
        <is>
          <t>For physicians, future income is often the largest asset.</t>
        </is>
      </c>
      <c r="E5" s="4">
        <f>IF(Dashboard!B12="Review now","Get own-occupation disability quotes and review riders","Confirm coverage details and portability")</f>
        <v/>
      </c>
    </row>
    <row r="6">
      <c r="A6" s="4" t="n">
        <v>4</v>
      </c>
      <c r="B6" s="4" t="inlineStr">
        <is>
          <t>Employer match</t>
        </is>
      </c>
      <c r="C6" s="4">
        <f>IF(Dashboard!B11="Yes","Capture full available match","No match identified or data missing")</f>
        <v/>
      </c>
      <c r="D6" s="4" t="inlineStr">
        <is>
          <t>Match dollars come before clever optimization.</t>
        </is>
      </c>
      <c r="E6" s="4">
        <f>IF(Dashboard!B11="Yes","Verify contribution rate reaches the full match threshold","Confirm whether a match exists")</f>
        <v/>
      </c>
    </row>
    <row r="7">
      <c r="A7" s="4" t="n">
        <v>5</v>
      </c>
      <c r="B7" s="4" t="inlineStr">
        <is>
          <t>Federal student loans</t>
        </is>
      </c>
      <c r="C7" s="4">
        <f>IF(Dashboard!B9&gt;0,"Model PSLF/IDR before any refinance talk","No federal student-loan balance detected")</f>
        <v/>
      </c>
      <c r="D7" s="4" t="inlineStr">
        <is>
          <t>Never casually refinance away federal options.</t>
        </is>
      </c>
      <c r="E7" s="4">
        <f>IF(Dashboard!B9&gt;0,"Gather loan type, servicer, PSLF count, repayment plan, and spouse context","Proceed only after confirming loan details")</f>
        <v/>
      </c>
    </row>
    <row r="8">
      <c r="A8" s="4" t="n">
        <v>6</v>
      </c>
      <c r="B8" s="4" t="inlineStr">
        <is>
          <t>Tax-advantaged investing</t>
        </is>
      </c>
      <c r="C8" s="4">
        <f>IF(AND(Dashboard!B7&gt;=3,Dashboard!B10="No"),"Advance once the foundation is stable","Do not optimize before stabilizing the base")</f>
        <v/>
      </c>
      <c r="D8" s="4" t="inlineStr">
        <is>
          <t>Optimization should follow stability, not replace it.</t>
        </is>
      </c>
      <c r="E8" s="4" t="inlineStr">
        <is>
          <t>Review 401k/403b, HSA, IRA, and other available account space.</t>
        </is>
      </c>
    </row>
    <row r="9">
      <c r="A9" s="4" t="n">
        <v>7</v>
      </c>
      <c r="B9" s="4" t="inlineStr">
        <is>
          <t>Long-term investing</t>
        </is>
      </c>
      <c r="C9" s="4" t="inlineStr">
        <is>
          <t>Default to low-cost diversified index funds once the base is structurally sound.</t>
        </is>
      </c>
      <c r="D9" s="4" t="inlineStr">
        <is>
          <t>Complexity must earn its place.</t>
        </is>
      </c>
      <c r="E9" s="4" t="inlineStr">
        <is>
          <t>Write or refine a target allocation and contribution plan.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Victor Prompt</t>
        </is>
      </c>
    </row>
    <row r="2">
      <c r="A2" t="inlineStr">
        <is>
          <t>Copy or adapt the text below when you want Victor to analyze the workbook.</t>
        </is>
      </c>
    </row>
    <row r="4" ht="420" customHeight="1">
      <c r="A4" s="12">
        <f>TEXTJOIN(CHAR(10),TRUE,"You are Victor Sterling, a physician-specific financial strategist.","Use the workbook data below. Label assumptions instead of faking certainty.","","CLIENT SNAPSHOT","- Client name: "&amp;Intake!B3,"- Age: "&amp;Intake!B4,"- State: "&amp;Intake!B5,"- Filing status: "&amp;Intake!B6,"- Dependents: "&amp;Intake!B7,"- Training stage: "&amp;Intake!B8,"- Specialty: "&amp;Intake!B9,"- Expected attending income: "&amp;TEXT(Intake!B10,"$#,##0"),"- Gross household income: "&amp;TEXT(Intake!B11,"$#,##0"),"- Monthly take-home pay: "&amp;TEXT(Intake!B12,"$#,##0"),"- Income stability: "&amp;Intake!B13,"- Near-term goals: "&amp;Intake!B14,"","KEY METRICS","- Annual savings: "&amp;TEXT(Dashboard!B4,"$#,##0"),"- Savings rate: "&amp;TEXT(Dashboard!B5,"0.0%"),"- Monthly core spend: "&amp;TEXT(Dashboard!B6,"$#,##0"),"- Emergency-fund months: "&amp;TEXT(Dashboard!B7,"0.0"),"- Total debt: "&amp;TEXT(Dashboard!B8,"$#,##0"),"- Federal student-loan balance: "&amp;TEXT(Dashboard!B9,"$#,##0"),"- High-interest debt flag: "&amp;Dashboard!B10,"- Employer match available: "&amp;Dashboard!B11,"- Disability protection gap: "&amp;Dashboard!B12,"- Preliminary risk capacity: "&amp;Dashboard!B13,"- Missing core inputs: "&amp;Dashboard!B14,"","TASK","Produce: executive summary, diagnosis, assumptions, risk assessment, debt strategy, insurance strategy, retirement strategy, portfolio strategy, tax notes, lifestyle-inflation controls, and action timeline.","Verify current law before making tax or student-loan recommendations.")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2026-06-09T16:37:15Z</dcterms:created>
  <dcterms:modified xsi:type="dcterms:W3CDTF">2026-06-09T16:37:15Z</dcterms:modified>
</cp:coreProperties>
</file>